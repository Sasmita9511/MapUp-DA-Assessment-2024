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AMAL PADHIARY\Downloads\"/>
    </mc:Choice>
  </mc:AlternateContent>
  <xr:revisionPtr revIDLastSave="0" documentId="13_ncr:1_{CE89ACC7-5827-4E18-BEAF-4178493BC43F}" xr6:coauthVersionLast="47" xr6:coauthVersionMax="47" xr10:uidLastSave="{00000000-0000-0000-0000-000000000000}"/>
  <bookViews>
    <workbookView xWindow="-108" yWindow="-108" windowWidth="23256" windowHeight="12576" tabRatio="849" activeTab="3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81029"/>
</workbook>
</file>

<file path=xl/calcChain.xml><?xml version="1.0" encoding="utf-8"?>
<calcChain xmlns="http://schemas.openxmlformats.org/spreadsheetml/2006/main">
  <c r="C22" i="19" l="1"/>
  <c r="D30" i="18" l="1"/>
  <c r="E30" i="18"/>
  <c r="F30" i="18"/>
  <c r="D29" i="18"/>
  <c r="E29" i="18"/>
  <c r="F29" i="18"/>
  <c r="D28" i="18"/>
  <c r="E28" i="18"/>
  <c r="F28" i="18"/>
  <c r="C30" i="18"/>
  <c r="C29" i="18"/>
  <c r="C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H41" i="1"/>
</calcChain>
</file>

<file path=xl/sharedStrings.xml><?xml version="1.0" encoding="utf-8"?>
<sst xmlns="http://schemas.openxmlformats.org/spreadsheetml/2006/main" count="404" uniqueCount="181">
  <si>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</si>
  <si>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</si>
  <si>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</si>
  <si>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</si>
  <si>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</si>
  <si>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</si>
  <si>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</si>
  <si>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</si>
  <si>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</si>
  <si>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</si>
  <si>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</si>
  <si>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</si>
  <si>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</si>
  <si>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</si>
  <si>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</si>
  <si>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</si>
  <si>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</si>
  <si>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</si>
  <si>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</si>
  <si>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</si>
  <si>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</si>
  <si>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</si>
  <si>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</si>
  <si>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</si>
  <si>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</si>
  <si>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</si>
  <si>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</si>
  <si>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</si>
  <si>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</si>
  <si>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</si>
  <si>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</si>
  <si>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</si>
  <si>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</si>
  <si>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</si>
  <si>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</si>
  <si>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</si>
  <si>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</si>
  <si>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</si>
  <si>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</si>
  <si>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</si>
  <si>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</si>
  <si>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</si>
  <si>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</si>
  <si>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</si>
  <si>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</si>
  <si>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</si>
  <si>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</si>
  <si>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</si>
  <si>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</si>
  <si>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</si>
  <si>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</si>
  <si>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</si>
  <si>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</si>
  <si>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</si>
  <si>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</si>
  <si>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</si>
  <si>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</si>
  <si>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</si>
  <si>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</si>
  <si>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</si>
  <si>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</si>
  <si>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</si>
  <si>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</si>
  <si>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</si>
  <si>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</si>
  <si>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</si>
  <si>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</si>
  <si>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</si>
  <si>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</si>
  <si>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</si>
  <si>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</si>
  <si>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</si>
  <si>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</si>
  <si>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</si>
  <si>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</si>
  <si>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</si>
  <si>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</si>
  <si>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</si>
  <si>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</si>
  <si>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</si>
  <si>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</si>
  <si>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</si>
  <si>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</si>
  <si>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</si>
  <si>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</si>
  <si>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</si>
  <si>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</si>
  <si>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</si>
  <si>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</si>
  <si>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</si>
  <si>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</si>
  <si>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</si>
  <si>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</si>
  <si>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</si>
  <si>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</si>
  <si>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</si>
  <si>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</si>
  <si>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</si>
  <si>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</si>
  <si>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</si>
  <si>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</si>
  <si>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</si>
  <si>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</si>
  <si>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</si>
  <si>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</si>
  <si>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</si>
  <si>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</si>
  <si>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</si>
  <si>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</si>
  <si>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</si>
  <si>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</si>
  <si>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</si>
  <si>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</si>
  <si>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</si>
  <si>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</si>
  <si>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</si>
  <si>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</si>
  <si>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</si>
  <si>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</si>
  <si>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</si>
  <si>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</si>
  <si>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</si>
  <si>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</si>
  <si>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</si>
  <si>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</si>
  <si>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</si>
  <si>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</si>
  <si>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</si>
  <si>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</si>
  <si>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</si>
  <si>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</si>
  <si>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</si>
  <si>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</si>
  <si>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</si>
  <si>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</si>
  <si>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</si>
  <si>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</si>
  <si>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</si>
  <si>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</si>
  <si>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</si>
  <si>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</si>
  <si>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</si>
  <si>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</si>
  <si>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</si>
  <si>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</si>
  <si>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</si>
  <si>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</si>
  <si>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</si>
  <si>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</si>
  <si>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</si>
  <si>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</si>
  <si>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</si>
  <si>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</si>
  <si>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</si>
  <si>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</si>
  <si>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</si>
  <si>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</si>
  <si>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</si>
  <si>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</si>
  <si>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</si>
  <si>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</si>
  <si>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</si>
  <si>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</si>
  <si>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</si>
  <si>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</si>
  <si>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</si>
  <si>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</si>
  <si>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</si>
  <si>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</si>
  <si>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</si>
  <si>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</si>
  <si>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</si>
  <si>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</si>
  <si>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</si>
  <si>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</si>
  <si>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</si>
  <si>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sumif(H2:H40,"&gt;20")</t>
  </si>
  <si>
    <t xml:space="preserve">First write one column values  in every row   and then put cursor in on column and put ctrl+E  </t>
  </si>
  <si>
    <t>All 2 values must be substituted with the value '20'</t>
  </si>
  <si>
    <t>Tap ctrl+f and replace #N/A with 2 and replace all and then using sum formula</t>
  </si>
  <si>
    <t>using  vlook 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</si>
</sst>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2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0" fontId="3" fillId="5" borderId="0" xfId="0" applyFont="1" applyFill="1"/>
    <xf numFmtId="0" fontId="3" fillId="6" borderId="0" xfId="0" applyFont="1" applyFill="1"/>
    <xf numFmtId="166" fontId="3" fillId="0" borderId="0" xfId="0" applyNumberFormat="1" applyFont="1"/>
    <xf numFmtId="0" fontId="14" fillId="7" borderId="0" xfId="0" applyFont="1" applyFill="1"/>
    <xf numFmtId="0" fontId="3" fillId="0" borderId="0" xfId="0" applyFont="1" applyAlignment="1"/>
    <xf numFmtId="0" fontId="3" fillId="0" borderId="0" xfId="0" applyFont="1" applyBorder="1"/>
    <xf numFmtId="0" fontId="3" fillId="7" borderId="0" xfId="0" applyFont="1" applyFill="1"/>
    <xf numFmtId="0" fontId="8" fillId="7" borderId="0" xfId="0" applyFont="1" applyFill="1"/>
    <xf numFmtId="0" fontId="3" fillId="8" borderId="0" xfId="0" applyFont="1" applyFill="1" applyBorder="1"/>
    <xf numFmtId="0" fontId="8" fillId="8" borderId="0" xfId="0" applyFont="1" applyFill="1" applyBorder="1"/>
    <xf numFmtId="0" fontId="18" fillId="7" borderId="0" xfId="0" applyFont="1" applyFill="1"/>
    <xf numFmtId="0" fontId="19" fillId="7" borderId="0" xfId="0" applyFont="1" applyFill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D18" sqref="D18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6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175</v>
      </c>
      <c r="C4" s="1"/>
    </row>
    <row r="5" spans="1:3" x14ac:dyDescent="0.3">
      <c r="A5" s="2" t="s">
        <v>151</v>
      </c>
    </row>
    <row r="8" spans="1:3" x14ac:dyDescent="0.3">
      <c r="A8" s="2" t="s">
        <v>171</v>
      </c>
    </row>
    <row r="9" spans="1:3" x14ac:dyDescent="0.3">
      <c r="A9" s="33" t="s">
        <v>169</v>
      </c>
      <c r="B9" s="25" t="s">
        <v>167</v>
      </c>
    </row>
    <row r="10" spans="1:3" x14ac:dyDescent="0.3">
      <c r="A10" s="32" t="s">
        <v>170</v>
      </c>
      <c r="B10" s="34">
        <v>25</v>
      </c>
    </row>
    <row r="11" spans="1:3" x14ac:dyDescent="0.3">
      <c r="A11" s="32" t="s">
        <v>55</v>
      </c>
      <c r="B11" s="34">
        <v>30</v>
      </c>
    </row>
    <row r="12" spans="1:3" x14ac:dyDescent="0.3">
      <c r="A12" s="32" t="s">
        <v>56</v>
      </c>
      <c r="B12" s="34">
        <v>10</v>
      </c>
    </row>
    <row r="13" spans="1:3" x14ac:dyDescent="0.3">
      <c r="A13" s="32" t="s">
        <v>85</v>
      </c>
      <c r="B13" s="34">
        <v>20</v>
      </c>
    </row>
    <row r="14" spans="1:3" x14ac:dyDescent="0.3">
      <c r="A14" s="32" t="s">
        <v>98</v>
      </c>
      <c r="B14" s="34">
        <v>40</v>
      </c>
    </row>
    <row r="15" spans="1:3" x14ac:dyDescent="0.3">
      <c r="A15" s="35" t="s">
        <v>168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Normal="100" workbookViewId="0">
      <pane ySplit="1" topLeftCell="A24" activePane="bottomLeft" state="frozen"/>
      <selection pane="bottomLeft" activeCell="H41" sqref="H41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43">
        <v>-1</v>
      </c>
      <c r="K2" s="43">
        <v>-1</v>
      </c>
      <c r="L2" s="43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43">
        <v>-1</v>
      </c>
      <c r="K3" s="43">
        <v>-1</v>
      </c>
      <c r="L3" s="43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43">
        <v>-1</v>
      </c>
      <c r="K4" s="43">
        <v>-1</v>
      </c>
      <c r="L4" s="43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43">
        <v>-1</v>
      </c>
      <c r="K5" s="43">
        <v>-1</v>
      </c>
      <c r="L5" s="43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43">
        <v>-1</v>
      </c>
      <c r="K6" s="43">
        <v>-1</v>
      </c>
      <c r="L6" s="43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43">
        <v>-1</v>
      </c>
      <c r="K7" s="43">
        <v>-1</v>
      </c>
      <c r="L7" s="43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43">
        <v>-1</v>
      </c>
      <c r="K8" s="43">
        <v>-1</v>
      </c>
      <c r="L8" s="43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43">
        <v>-1</v>
      </c>
      <c r="K9" s="43">
        <v>-1</v>
      </c>
      <c r="L9" s="43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43">
        <v>-1</v>
      </c>
      <c r="K10" s="43">
        <v>-1</v>
      </c>
      <c r="L10" s="43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43">
        <v>-1</v>
      </c>
      <c r="K11" s="43">
        <v>-1</v>
      </c>
      <c r="L11" s="43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44">
        <v>0</v>
      </c>
      <c r="H12" s="44">
        <v>0</v>
      </c>
      <c r="I12" s="44">
        <v>0</v>
      </c>
      <c r="J12" s="44">
        <v>0</v>
      </c>
      <c r="K12" s="44">
        <v>0</v>
      </c>
      <c r="L12" s="44">
        <v>0</v>
      </c>
      <c r="M12" s="44">
        <v>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5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43">
        <v>-1</v>
      </c>
      <c r="K13" s="43">
        <v>-1</v>
      </c>
      <c r="L13" s="43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43">
        <v>-1</v>
      </c>
      <c r="K14" s="43">
        <v>-1</v>
      </c>
      <c r="L14" s="43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43">
        <v>-1</v>
      </c>
      <c r="K15" s="43">
        <v>-1</v>
      </c>
      <c r="L15" s="43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43">
        <v>-1</v>
      </c>
      <c r="K16" s="43">
        <v>-1</v>
      </c>
      <c r="L16" s="43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43">
        <v>-1</v>
      </c>
      <c r="K17" s="43">
        <v>-1</v>
      </c>
      <c r="L17" s="43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43">
        <v>-1</v>
      </c>
      <c r="K18" s="43">
        <v>-1</v>
      </c>
      <c r="L18" s="43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43">
        <v>-1</v>
      </c>
      <c r="K19" s="43">
        <v>-1</v>
      </c>
      <c r="L19" s="43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43">
        <v>-1</v>
      </c>
      <c r="K20" s="43">
        <v>-1</v>
      </c>
      <c r="L20" s="43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43">
        <v>-1</v>
      </c>
      <c r="K21" s="43">
        <v>-1</v>
      </c>
      <c r="L21" s="43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43">
        <v>-1</v>
      </c>
      <c r="K22" s="43">
        <v>-1</v>
      </c>
      <c r="L22" s="43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43">
        <v>-1</v>
      </c>
      <c r="K23" s="43">
        <v>-1</v>
      </c>
      <c r="L23" s="43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43">
        <v>-1</v>
      </c>
      <c r="K24" s="43">
        <v>-1</v>
      </c>
      <c r="L24" s="43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43">
        <v>-1</v>
      </c>
      <c r="K25" s="43">
        <v>-1</v>
      </c>
      <c r="L25" s="43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5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43">
        <v>-1</v>
      </c>
      <c r="K27" s="43">
        <v>-1</v>
      </c>
      <c r="L27" s="43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43">
        <v>-1</v>
      </c>
      <c r="K28" s="43">
        <v>-1</v>
      </c>
      <c r="L28" s="43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43">
        <v>-1</v>
      </c>
      <c r="K29" s="43">
        <v>-1</v>
      </c>
      <c r="L29" s="43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43">
        <v>-1</v>
      </c>
      <c r="H30" s="43">
        <v>-1</v>
      </c>
      <c r="I30" s="43">
        <v>-1</v>
      </c>
      <c r="J30" s="43">
        <v>-1</v>
      </c>
      <c r="K30" s="43">
        <v>-1</v>
      </c>
      <c r="L30" s="43">
        <v>-1</v>
      </c>
      <c r="M30" s="43">
        <v>-1</v>
      </c>
      <c r="N30" s="43">
        <v>-1</v>
      </c>
      <c r="O30" s="43">
        <v>-1</v>
      </c>
      <c r="P30" s="43">
        <v>-1</v>
      </c>
      <c r="Q30" s="43">
        <v>-1</v>
      </c>
      <c r="R30" s="43">
        <v>-1</v>
      </c>
      <c r="S30" s="43">
        <v>-1</v>
      </c>
      <c r="T30" s="43">
        <v>-1</v>
      </c>
      <c r="U30" s="43">
        <v>-1</v>
      </c>
      <c r="V30" s="43">
        <v>-1</v>
      </c>
      <c r="W30" s="43">
        <v>-1</v>
      </c>
      <c r="X30" s="4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43">
        <v>-1</v>
      </c>
      <c r="K31" s="43">
        <v>-1</v>
      </c>
      <c r="L31" s="43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43">
        <v>-1</v>
      </c>
      <c r="H32" s="43">
        <v>-1</v>
      </c>
      <c r="I32" s="43">
        <v>-1</v>
      </c>
      <c r="J32" s="43">
        <v>-1</v>
      </c>
      <c r="K32" s="43">
        <v>-1</v>
      </c>
      <c r="L32" s="43">
        <v>-1</v>
      </c>
      <c r="M32" s="43">
        <v>-1</v>
      </c>
      <c r="N32" s="43">
        <v>-1</v>
      </c>
      <c r="O32" s="43">
        <v>-1</v>
      </c>
      <c r="P32" s="43">
        <v>-1</v>
      </c>
      <c r="Q32" s="43">
        <v>-1</v>
      </c>
      <c r="R32" s="43">
        <v>-1</v>
      </c>
      <c r="S32" s="43">
        <v>-1</v>
      </c>
      <c r="T32" s="43">
        <v>-1</v>
      </c>
      <c r="U32" s="43">
        <v>-1</v>
      </c>
      <c r="V32" s="43">
        <v>-1</v>
      </c>
      <c r="W32" s="43">
        <v>-1</v>
      </c>
      <c r="X32" s="4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43">
        <v>-1</v>
      </c>
      <c r="K33" s="43">
        <v>-1</v>
      </c>
      <c r="L33" s="43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43">
        <v>-1</v>
      </c>
      <c r="K34" s="43">
        <v>-1</v>
      </c>
      <c r="L34" s="43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43">
        <v>-1</v>
      </c>
      <c r="K35" s="43">
        <v>-1</v>
      </c>
      <c r="L35" s="43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43">
        <v>-1</v>
      </c>
      <c r="K36" s="43">
        <v>-1</v>
      </c>
      <c r="L36" s="43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43">
        <v>-1</v>
      </c>
      <c r="K37" s="43">
        <v>-1</v>
      </c>
      <c r="L37" s="43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43">
        <v>-1</v>
      </c>
      <c r="K38" s="43">
        <v>-1</v>
      </c>
      <c r="L38" s="43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43">
        <v>-1</v>
      </c>
      <c r="K39" s="43">
        <v>-1</v>
      </c>
      <c r="L39" s="43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43">
        <v>-1</v>
      </c>
      <c r="K40" s="43">
        <v>-1</v>
      </c>
      <c r="L40" s="43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 x14ac:dyDescent="0.3">
      <c r="H41" s="3">
        <f>SUMIF(H2:H40,"&gt;20")</f>
        <v>1473.0000000000002</v>
      </c>
    </row>
  </sheetData>
  <conditionalFormatting sqref="A1:A1048576">
    <cfRule type="duplicateValues" dxfId="1" priority="2"/>
  </conditionalFormatting>
  <conditionalFormatting sqref="B1:B1048576">
    <cfRule type="duplicateValues" dxfId="0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16" sqref="B1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174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46" t="s">
        <v>176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H30"/>
  <sheetViews>
    <sheetView tabSelected="1" topLeftCell="A16" zoomScaleNormal="100" workbookViewId="0">
      <selection activeCell="D30" sqref="D3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8" s="38" customFormat="1" ht="21" x14ac:dyDescent="0.4">
      <c r="A1" s="39" t="s">
        <v>55</v>
      </c>
      <c r="B1" s="38" t="s">
        <v>163</v>
      </c>
    </row>
    <row r="2" spans="1:8" s="38" customFormat="1" ht="21" x14ac:dyDescent="0.4">
      <c r="B2" s="38" t="s">
        <v>160</v>
      </c>
    </row>
    <row r="3" spans="1:8" ht="14.4" x14ac:dyDescent="0.3">
      <c r="A3" s="1"/>
      <c r="B3" s="1"/>
      <c r="C3" s="1"/>
      <c r="D3" s="1"/>
      <c r="E3" s="1"/>
      <c r="F3" s="1"/>
      <c r="G3" s="1"/>
    </row>
    <row r="4" spans="1:8" ht="23.4" x14ac:dyDescent="0.45">
      <c r="A4" s="17" t="s">
        <v>161</v>
      </c>
      <c r="B4" s="1"/>
      <c r="C4" s="1"/>
      <c r="D4" s="1"/>
      <c r="E4" s="1"/>
      <c r="F4" s="1"/>
      <c r="G4" s="1"/>
    </row>
    <row r="5" spans="1:8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  <c r="H5" s="50" t="s">
        <v>180</v>
      </c>
    </row>
    <row r="6" spans="1:8" ht="14.4" x14ac:dyDescent="0.3">
      <c r="A6" s="7" t="s">
        <v>40</v>
      </c>
      <c r="B6" s="11">
        <f>VLOOKUP(A6,Dataset!A1:X40,7,0)</f>
        <v>2.7</v>
      </c>
      <c r="C6" s="11">
        <f>VLOOKUP(A6,Dataset!A1:X40,14,0)</f>
        <v>7.6</v>
      </c>
      <c r="D6" s="11">
        <f>VLOOKUP(A6,Dataset!A1:X40,18,0)</f>
        <v>4.2</v>
      </c>
      <c r="E6" s="11">
        <f>VLOOKUP(A6,Dataset!A1:X40,20,0)</f>
        <v>8.9</v>
      </c>
      <c r="F6" s="8">
        <f>VLOOKUP(A6,Dataset!A1:X40,22,0)</f>
        <v>4.2</v>
      </c>
    </row>
    <row r="7" spans="1:8" ht="14.4" x14ac:dyDescent="0.3">
      <c r="A7" s="7" t="s">
        <v>4</v>
      </c>
      <c r="B7" s="11">
        <f>VLOOKUP(A7,Dataset!A2:X41,7,0)</f>
        <v>2.7</v>
      </c>
      <c r="C7" s="11">
        <f>VLOOKUP(A7,Dataset!A2:X41,14,0)</f>
        <v>7.6</v>
      </c>
      <c r="D7" s="11">
        <f>VLOOKUP(A7,Dataset!A2:X41,18,0)</f>
        <v>4.2</v>
      </c>
      <c r="E7" s="11">
        <f>VLOOKUP(A7,Dataset!A2:X41,20,0)</f>
        <v>8.9</v>
      </c>
      <c r="F7" s="8">
        <f>VLOOKUP(A7,Dataset!A2:X41,22,0)</f>
        <v>4.2</v>
      </c>
    </row>
    <row r="8" spans="1:8" ht="14.4" x14ac:dyDescent="0.3">
      <c r="A8" s="7" t="s">
        <v>7</v>
      </c>
      <c r="B8" s="11">
        <f>VLOOKUP(A8,Dataset!A3:X42,7,0)</f>
        <v>3.6</v>
      </c>
      <c r="C8" s="11">
        <f>VLOOKUP(A8,Dataset!A3:X42,14,0)</f>
        <v>11.1</v>
      </c>
      <c r="D8" s="11">
        <f>VLOOKUP(A8,Dataset!A3:X42,18,0)</f>
        <v>5.8</v>
      </c>
      <c r="E8" s="11">
        <f>VLOOKUP(A8,Dataset!A3:X42,20,0)</f>
        <v>12.2</v>
      </c>
      <c r="F8" s="8">
        <f>VLOOKUP(A8,Dataset!A3:X42,22,0)</f>
        <v>5.8</v>
      </c>
    </row>
    <row r="9" spans="1:8" ht="14.4" x14ac:dyDescent="0.3">
      <c r="A9" s="7" t="s">
        <v>8</v>
      </c>
      <c r="B9" s="11">
        <f>VLOOKUP(A9,Dataset!A4:X43,7,0)</f>
        <v>4.9000000000000004</v>
      </c>
      <c r="C9" s="11">
        <f>VLOOKUP(A9,Dataset!A4:X43,14,0)</f>
        <v>13.3</v>
      </c>
      <c r="D9" s="11">
        <f>VLOOKUP(A9,Dataset!A4:X43,18,0)</f>
        <v>8.1</v>
      </c>
      <c r="E9" s="11">
        <f>VLOOKUP(A9,Dataset!A4:X43,20,0)</f>
        <v>17</v>
      </c>
      <c r="F9" s="8">
        <f>VLOOKUP(A9,Dataset!A4:X43,22,0)</f>
        <v>8.1</v>
      </c>
    </row>
    <row r="10" spans="1:8" ht="14.4" x14ac:dyDescent="0.3">
      <c r="A10" s="7" t="s">
        <v>11</v>
      </c>
      <c r="B10" s="11">
        <f>VLOOKUP(A10,Dataset!A5:X44,7,0)</f>
        <v>9.4</v>
      </c>
      <c r="C10" s="11">
        <f>VLOOKUP(A10,Dataset!A5:X44,14,0)</f>
        <v>28.3</v>
      </c>
      <c r="D10" s="11">
        <f>VLOOKUP(A10,Dataset!A5:X44,18,0)</f>
        <v>16.100000000000001</v>
      </c>
      <c r="E10" s="11">
        <f>VLOOKUP(A10,Dataset!A5:X44,20,0)</f>
        <v>32.799999999999997</v>
      </c>
      <c r="F10" s="8">
        <f>VLOOKUP(A10,Dataset!A5:X44,22,0)</f>
        <v>16.100000000000001</v>
      </c>
    </row>
    <row r="11" spans="1:8" ht="14.4" x14ac:dyDescent="0.3">
      <c r="A11" s="7" t="s">
        <v>12</v>
      </c>
      <c r="B11" s="11">
        <f>VLOOKUP(A11,Dataset!A6:X45,7,0)</f>
        <v>11.6</v>
      </c>
      <c r="C11" s="11">
        <f>VLOOKUP(A11,Dataset!A6:X45,14,0)</f>
        <v>35.200000000000003</v>
      </c>
      <c r="D11" s="11">
        <f>VLOOKUP(A11,Dataset!A6:X45,18,0)</f>
        <v>21.3</v>
      </c>
      <c r="E11" s="11">
        <f>VLOOKUP(A11,Dataset!A6:X45,20,0)</f>
        <v>43</v>
      </c>
      <c r="F11" s="8">
        <f>VLOOKUP(A11,Dataset!A6:X45,22,0)</f>
        <v>21.3</v>
      </c>
    </row>
    <row r="12" spans="1:8" ht="14.4" x14ac:dyDescent="0.3">
      <c r="A12" s="7" t="s">
        <v>14</v>
      </c>
      <c r="B12" s="11">
        <f>VLOOKUP(A12,Dataset!A7:X46,7,0)</f>
        <v>18.399999999999999</v>
      </c>
      <c r="C12" s="11">
        <f>VLOOKUP(A12,Dataset!A7:X46,14,0)</f>
        <v>55.6</v>
      </c>
      <c r="D12" s="11">
        <f>VLOOKUP(A12,Dataset!A7:X46,18,0)</f>
        <v>33.799999999999997</v>
      </c>
      <c r="E12" s="11">
        <f>VLOOKUP(A12,Dataset!A7:X46,20,0)</f>
        <v>67.900000000000006</v>
      </c>
      <c r="F12" s="8">
        <f>VLOOKUP(A12,Dataset!A7:X46,22,0)</f>
        <v>33.799999999999997</v>
      </c>
    </row>
    <row r="13" spans="1:8" ht="14.4" x14ac:dyDescent="0.3">
      <c r="A13" s="7" t="s">
        <v>15</v>
      </c>
      <c r="B13" s="11">
        <f>VLOOKUP(A13,Dataset!A8:X47,7,0)</f>
        <v>0</v>
      </c>
      <c r="C13" s="11">
        <f>VLOOKUP(A13,Dataset!A8:X47,14,0)</f>
        <v>0</v>
      </c>
      <c r="D13" s="11">
        <f>VLOOKUP(A13,Dataset!A8:X47,18,0)</f>
        <v>0</v>
      </c>
      <c r="E13" s="11">
        <f>VLOOKUP(A13,Dataset!A8:X47,20,0)</f>
        <v>0</v>
      </c>
      <c r="F13" s="8">
        <f>VLOOKUP(A13,Dataset!A8:X47,22,0)</f>
        <v>0</v>
      </c>
    </row>
    <row r="14" spans="1:8" ht="14.4" x14ac:dyDescent="0.3">
      <c r="A14" s="7" t="s">
        <v>16</v>
      </c>
      <c r="B14" s="11">
        <f>VLOOKUP(A14,Dataset!A9:X48,7,0)</f>
        <v>21.9</v>
      </c>
      <c r="C14" s="11">
        <f>VLOOKUP(A14,Dataset!A9:X48,14,0)</f>
        <v>61.5</v>
      </c>
      <c r="D14" s="11">
        <f>VLOOKUP(A14,Dataset!A9:X48,18,0)</f>
        <v>40.1</v>
      </c>
      <c r="E14" s="11">
        <f>VLOOKUP(A14,Dataset!A9:X48,20,0)</f>
        <v>76.599999999999994</v>
      </c>
      <c r="F14" s="8">
        <f>VLOOKUP(A14,Dataset!A9:X48,22,0)</f>
        <v>40.1</v>
      </c>
    </row>
    <row r="15" spans="1:8" ht="14.4" x14ac:dyDescent="0.3">
      <c r="A15" s="7" t="s">
        <v>18</v>
      </c>
      <c r="B15" s="11">
        <f>VLOOKUP(A15,Dataset!A10:X49,7,0)</f>
        <v>26.8</v>
      </c>
      <c r="C15" s="11">
        <f>VLOOKUP(A15,Dataset!A10:X49,14,0)</f>
        <v>79.599999999999994</v>
      </c>
      <c r="D15" s="11">
        <f>VLOOKUP(A15,Dataset!A10:X49,18,0)</f>
        <v>47.9</v>
      </c>
      <c r="E15" s="11">
        <f>VLOOKUP(A15,Dataset!A10:X49,20,0)</f>
        <v>96.8</v>
      </c>
      <c r="F15" s="8">
        <f>VLOOKUP(A15,Dataset!A10:X49,22,0)</f>
        <v>47.9</v>
      </c>
    </row>
    <row r="16" spans="1:8" ht="14.4" x14ac:dyDescent="0.3">
      <c r="A16" s="7" t="s">
        <v>20</v>
      </c>
      <c r="B16" s="11">
        <f>VLOOKUP(A16,Dataset!A11:X50,7,0)</f>
        <v>28.5</v>
      </c>
      <c r="C16" s="11">
        <f>VLOOKUP(A16,Dataset!A11:X50,14,0)</f>
        <v>85.4</v>
      </c>
      <c r="D16" s="11">
        <f>VLOOKUP(A16,Dataset!A11:X50,18,0)</f>
        <v>52.3</v>
      </c>
      <c r="E16" s="11">
        <f>VLOOKUP(A16,Dataset!A11:X50,20,0)</f>
        <v>106.1</v>
      </c>
      <c r="F16" s="8">
        <f>VLOOKUP(A16,Dataset!A11:X50,22,0)</f>
        <v>52.3</v>
      </c>
    </row>
    <row r="17" spans="1:6" ht="14.4" x14ac:dyDescent="0.3">
      <c r="A17" s="7" t="s">
        <v>22</v>
      </c>
      <c r="B17" s="11">
        <f>VLOOKUP(A17,Dataset!A12:X51,7,0)</f>
        <v>30.7</v>
      </c>
      <c r="C17" s="11">
        <f>VLOOKUP(A17,Dataset!A12:X51,14,0)</f>
        <v>92.1</v>
      </c>
      <c r="D17" s="11">
        <f>VLOOKUP(A17,Dataset!A12:X51,18,0)</f>
        <v>57</v>
      </c>
      <c r="E17" s="11">
        <f>VLOOKUP(A17,Dataset!A12:X51,20,0)</f>
        <v>115.1</v>
      </c>
      <c r="F17" s="8">
        <f>VLOOKUP(A17,Dataset!A12:X51,22,0)</f>
        <v>57</v>
      </c>
    </row>
    <row r="18" spans="1:6" ht="14.4" x14ac:dyDescent="0.3">
      <c r="A18" s="7" t="s">
        <v>23</v>
      </c>
      <c r="B18" s="11">
        <f>VLOOKUP(A18,Dataset!A13:X52,7,0)</f>
        <v>33.799999999999997</v>
      </c>
      <c r="C18" s="11">
        <f>VLOOKUP(A18,Dataset!A13:X52,14,0)</f>
        <v>101.3</v>
      </c>
      <c r="D18" s="11">
        <f>VLOOKUP(A18,Dataset!A13:X52,18,0)</f>
        <v>61.4</v>
      </c>
      <c r="E18" s="11">
        <f>VLOOKUP(A18,Dataset!A13:X52,20,0)</f>
        <v>124.4</v>
      </c>
      <c r="F18" s="8">
        <f>VLOOKUP(A18,Dataset!A13:X52,22,0)</f>
        <v>61.4</v>
      </c>
    </row>
    <row r="19" spans="1:6" ht="14.4" x14ac:dyDescent="0.3">
      <c r="A19" s="7" t="s">
        <v>24</v>
      </c>
      <c r="B19" s="11">
        <f>VLOOKUP(A19,Dataset!A14:X53,7,0)</f>
        <v>34.700000000000003</v>
      </c>
      <c r="C19" s="11">
        <f>VLOOKUP(A19,Dataset!A14:X53,14,0)</f>
        <v>106.1</v>
      </c>
      <c r="D19" s="11">
        <f>VLOOKUP(A19,Dataset!A14:X53,18,0)</f>
        <v>63.6</v>
      </c>
      <c r="E19" s="11">
        <f>VLOOKUP(A19,Dataset!A14:X53,20,0)</f>
        <v>128.6</v>
      </c>
      <c r="F19" s="8">
        <f>VLOOKUP(A19,Dataset!A14:X53,22,0)</f>
        <v>63.6</v>
      </c>
    </row>
    <row r="20" spans="1:6" ht="14.4" x14ac:dyDescent="0.3">
      <c r="A20" s="7" t="s">
        <v>28</v>
      </c>
      <c r="B20" s="11">
        <f>VLOOKUP(A20,Dataset!A15:X54,7,0)</f>
        <v>0</v>
      </c>
      <c r="C20" s="11">
        <f>VLOOKUP(A20,Dataset!A15:X54,14,0)</f>
        <v>0</v>
      </c>
      <c r="D20" s="11">
        <f>VLOOKUP(A20,Dataset!A15:X54,18,0)</f>
        <v>0</v>
      </c>
      <c r="E20" s="11">
        <f>VLOOKUP(A20,Dataset!A15:X54,20,0)</f>
        <v>0</v>
      </c>
      <c r="F20" s="8">
        <f>VLOOKUP(A20,Dataset!A15:X54,22,0)</f>
        <v>0</v>
      </c>
    </row>
    <row r="21" spans="1:6" ht="14.4" x14ac:dyDescent="0.3">
      <c r="A21" s="7" t="s">
        <v>57</v>
      </c>
      <c r="B21" s="11">
        <f>VLOOKUP(A21,Dataset!A16:X55,7,0)</f>
        <v>41.3</v>
      </c>
      <c r="C21" s="11">
        <f>VLOOKUP(A21,Dataset!A16:X55,14,0)</f>
        <v>124.4</v>
      </c>
      <c r="D21" s="11">
        <f>VLOOKUP(A21,Dataset!A16:X55,18,0)</f>
        <v>75</v>
      </c>
      <c r="E21" s="11">
        <f>VLOOKUP(A21,Dataset!A16:X55,20,0)</f>
        <v>151.5</v>
      </c>
      <c r="F21" s="8">
        <f>VLOOKUP(A21,Dataset!A16:X55,22,0)</f>
        <v>75</v>
      </c>
    </row>
    <row r="22" spans="1:6" ht="14.4" x14ac:dyDescent="0.3">
      <c r="A22" s="7" t="s">
        <v>58</v>
      </c>
      <c r="B22" s="11">
        <f>VLOOKUP(A22,Dataset!A17:X56,7,0)</f>
        <v>-1</v>
      </c>
      <c r="C22" s="11">
        <f>VLOOKUP(A22,Dataset!A17:X56,14,0)</f>
        <v>-1</v>
      </c>
      <c r="D22" s="11">
        <f>VLOOKUP(A22,Dataset!A17:X56,18,0)</f>
        <v>-1</v>
      </c>
      <c r="E22" s="11">
        <f>VLOOKUP(A22,Dataset!A17:X56,20,0)</f>
        <v>-1</v>
      </c>
      <c r="F22" s="8">
        <f>VLOOKUP(A22,Dataset!A17:X56,22,0)</f>
        <v>-1</v>
      </c>
    </row>
    <row r="23" spans="1:6" ht="14.4" x14ac:dyDescent="0.3">
      <c r="A23" s="7" t="s">
        <v>31</v>
      </c>
      <c r="B23" s="11">
        <f>VLOOKUP(A23,Dataset!A18:X57,7,0)</f>
        <v>45</v>
      </c>
      <c r="C23" s="11">
        <f>VLOOKUP(A23,Dataset!A18:X57,14,0)</f>
        <v>133.4</v>
      </c>
      <c r="D23" s="11">
        <f>VLOOKUP(A23,Dataset!A18:X57,18,0)</f>
        <v>79.400000000000006</v>
      </c>
      <c r="E23" s="11">
        <f>VLOOKUP(A23,Dataset!A18:X57,20,0)</f>
        <v>160.9</v>
      </c>
      <c r="F23" s="8">
        <f>VLOOKUP(A23,Dataset!A18:X57,22,0)</f>
        <v>79.400000000000006</v>
      </c>
    </row>
    <row r="24" spans="1:6" ht="14.4" x14ac:dyDescent="0.3">
      <c r="A24" s="7" t="s">
        <v>32</v>
      </c>
      <c r="B24" s="11">
        <f>VLOOKUP(A24,Dataset!A19:X58,7,0)</f>
        <v>-1</v>
      </c>
      <c r="C24" s="11">
        <f>VLOOKUP(A24,Dataset!A19:X58,14,0)</f>
        <v>-1</v>
      </c>
      <c r="D24" s="11">
        <f>VLOOKUP(A24,Dataset!A19:X58,18,0)</f>
        <v>-1</v>
      </c>
      <c r="E24" s="11">
        <f>VLOOKUP(A24,Dataset!A19:X58,20,0)</f>
        <v>-1</v>
      </c>
      <c r="F24" s="8">
        <f>VLOOKUP(A24,Dataset!A19:X58,22,0)</f>
        <v>-1</v>
      </c>
    </row>
    <row r="25" spans="1:6" ht="14.4" x14ac:dyDescent="0.3">
      <c r="A25" s="7" t="s">
        <v>34</v>
      </c>
      <c r="B25" s="11">
        <f>VLOOKUP(A25,Dataset!A20:X59,7,0)</f>
        <v>43.3</v>
      </c>
      <c r="C25" s="11">
        <f>VLOOKUP(A25,Dataset!A20:X59,14,0)</f>
        <v>128.6</v>
      </c>
      <c r="D25" s="11">
        <f>VLOOKUP(A25,Dataset!A20:X59,18,0)</f>
        <v>79.400000000000006</v>
      </c>
      <c r="E25" s="11">
        <f>VLOOKUP(A25,Dataset!A20:X59,20,0)</f>
        <v>160.9</v>
      </c>
      <c r="F25" s="8">
        <f>VLOOKUP(A25,Dataset!A20:X59,22,0)</f>
        <v>79.400000000000006</v>
      </c>
    </row>
    <row r="26" spans="1:6" ht="14.4" x14ac:dyDescent="0.3">
      <c r="A26" s="7" t="s">
        <v>37</v>
      </c>
      <c r="B26" s="11">
        <f>VLOOKUP(A26,Dataset!A21:X60,7,0)</f>
        <v>49.1</v>
      </c>
      <c r="C26" s="11">
        <f>VLOOKUP(A26,Dataset!A21:X60,14,0)</f>
        <v>146.80000000000001</v>
      </c>
      <c r="D26" s="11">
        <f>VLOOKUP(A26,Dataset!A21:X60,18,0)</f>
        <v>90.9</v>
      </c>
      <c r="E26" s="11">
        <f>VLOOKUP(A26,Dataset!A21:X60,20,0)</f>
        <v>183.5</v>
      </c>
      <c r="F26" s="8">
        <f>VLOOKUP(A26,Dataset!A21:X60,22,0)</f>
        <v>90.9</v>
      </c>
    </row>
    <row r="27" spans="1:6" ht="14.4" x14ac:dyDescent="0.3">
      <c r="A27" s="7" t="s">
        <v>39</v>
      </c>
      <c r="B27" s="11">
        <f>VLOOKUP(A27,Dataset!A22:X61,7,0)</f>
        <v>51.8</v>
      </c>
      <c r="C27" s="11">
        <f>VLOOKUP(A27,Dataset!A22:X61,14,0)</f>
        <v>156.4</v>
      </c>
      <c r="D27" s="11">
        <f>VLOOKUP(A27,Dataset!A22:X61,18,0)</f>
        <v>93.1</v>
      </c>
      <c r="E27" s="11">
        <f>VLOOKUP(A27,Dataset!A22:X61,20,0)</f>
        <v>188.1</v>
      </c>
      <c r="F27" s="8">
        <f>VLOOKUP(A27,Dataset!A22:X61,22,0)</f>
        <v>93.1</v>
      </c>
    </row>
    <row r="28" spans="1:6" ht="14.4" x14ac:dyDescent="0.3">
      <c r="A28" s="18" t="s">
        <v>82</v>
      </c>
      <c r="B28" s="18">
        <f>MIN(B6:B27)</f>
        <v>-1</v>
      </c>
      <c r="C28" s="18">
        <f>MIN(C6:C27)</f>
        <v>-1</v>
      </c>
      <c r="D28" s="18">
        <f t="shared" ref="D28:F28" si="0">MIN(D6:D27)</f>
        <v>-1</v>
      </c>
      <c r="E28" s="18">
        <f t="shared" si="0"/>
        <v>-1</v>
      </c>
      <c r="F28" s="18">
        <f t="shared" si="0"/>
        <v>-1</v>
      </c>
    </row>
    <row r="29" spans="1:6" ht="14.4" x14ac:dyDescent="0.3">
      <c r="A29" s="18" t="s">
        <v>83</v>
      </c>
      <c r="B29" s="18">
        <f>MAX(B6:B27)</f>
        <v>51.8</v>
      </c>
      <c r="C29" s="18">
        <f>MAX(C6:C27)</f>
        <v>156.4</v>
      </c>
      <c r="D29" s="18">
        <f t="shared" ref="D29:F29" si="1">MAX(D6:D27)</f>
        <v>93.1</v>
      </c>
      <c r="E29" s="18">
        <f t="shared" si="1"/>
        <v>188.1</v>
      </c>
      <c r="F29" s="18">
        <f t="shared" si="1"/>
        <v>93.1</v>
      </c>
    </row>
    <row r="30" spans="1:6" ht="14.4" x14ac:dyDescent="0.3">
      <c r="A30" s="18" t="s">
        <v>84</v>
      </c>
      <c r="B30" s="18">
        <f>AVERAGE(B6:B27)</f>
        <v>20.827272727272728</v>
      </c>
      <c r="C30" s="18">
        <f>AVERAGE(C6:C27)</f>
        <v>62.377272727272725</v>
      </c>
      <c r="D30" s="18">
        <f t="shared" ref="D30:F30" si="2">AVERAGE(D6:D27)</f>
        <v>37.800000000000004</v>
      </c>
      <c r="E30" s="18">
        <f t="shared" si="2"/>
        <v>76.418181818181822</v>
      </c>
      <c r="F30" s="18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R54"/>
  <sheetViews>
    <sheetView topLeftCell="A37" zoomScaleNormal="100" workbookViewId="0">
      <selection activeCell="D45" sqref="D45:D54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8" s="38" customFormat="1" ht="21" x14ac:dyDescent="0.4">
      <c r="A1" s="39" t="s">
        <v>56</v>
      </c>
      <c r="B1" s="38" t="s">
        <v>172</v>
      </c>
    </row>
    <row r="2" spans="1:18" customFormat="1" ht="13.2" x14ac:dyDescent="0.25"/>
    <row r="3" spans="1:18" s="2" customFormat="1" x14ac:dyDescent="0.3">
      <c r="B3" s="1"/>
    </row>
    <row r="4" spans="1:18" s="2" customFormat="1" x14ac:dyDescent="0.3">
      <c r="B4" s="1" t="s">
        <v>150</v>
      </c>
    </row>
    <row r="5" spans="1:18" ht="18" x14ac:dyDescent="0.35">
      <c r="A5" s="40" t="s">
        <v>53</v>
      </c>
      <c r="B5" s="37"/>
    </row>
    <row r="6" spans="1:18" ht="18" x14ac:dyDescent="0.35">
      <c r="A6" s="40" t="s">
        <v>152</v>
      </c>
      <c r="B6" s="49" t="s">
        <v>177</v>
      </c>
      <c r="C6" s="50"/>
      <c r="D6" s="50"/>
      <c r="E6" s="49"/>
      <c r="F6" s="49"/>
      <c r="G6" s="49"/>
      <c r="H6" s="49"/>
    </row>
    <row r="7" spans="1:18" ht="18" x14ac:dyDescent="0.35">
      <c r="A7" s="40"/>
      <c r="B7" s="37"/>
    </row>
    <row r="9" spans="1:18" ht="23.4" x14ac:dyDescent="0.45">
      <c r="A9" s="17" t="s">
        <v>164</v>
      </c>
      <c r="I9" s="2"/>
      <c r="J9" s="2"/>
    </row>
    <row r="10" spans="1:18" x14ac:dyDescent="0.3">
      <c r="A10" s="31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H10" s="51"/>
      <c r="I10" s="52"/>
      <c r="J10" s="52"/>
      <c r="K10" s="51"/>
      <c r="L10" s="51"/>
      <c r="M10" s="51"/>
      <c r="N10" s="51"/>
    </row>
    <row r="11" spans="1:18" x14ac:dyDescent="0.3">
      <c r="A11" s="9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8" ht="23.4" x14ac:dyDescent="0.45">
      <c r="A14" s="17" t="s">
        <v>161</v>
      </c>
    </row>
    <row r="15" spans="1:18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8" x14ac:dyDescent="0.3">
      <c r="A16" s="7" t="s">
        <v>120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</row>
    <row r="17" spans="1:15" x14ac:dyDescent="0.3">
      <c r="A17" s="7" t="s">
        <v>121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  <c r="J17" s="48"/>
      <c r="K17" s="48"/>
      <c r="L17" s="48"/>
      <c r="M17" s="48"/>
      <c r="N17" s="48"/>
      <c r="O17" s="48"/>
    </row>
    <row r="18" spans="1:15" x14ac:dyDescent="0.3">
      <c r="A18" s="7" t="s">
        <v>122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  <c r="J18" s="48"/>
      <c r="K18" s="48"/>
      <c r="L18" s="48"/>
      <c r="M18" s="48"/>
      <c r="N18" s="48"/>
      <c r="O18" s="48"/>
    </row>
    <row r="19" spans="1:15" x14ac:dyDescent="0.3">
      <c r="A19" s="7" t="s">
        <v>123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15" x14ac:dyDescent="0.3">
      <c r="A20" s="7" t="s">
        <v>124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15" x14ac:dyDescent="0.3">
      <c r="A21" s="7" t="s">
        <v>125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15" x14ac:dyDescent="0.3">
      <c r="A22" s="7" t="s">
        <v>126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15" x14ac:dyDescent="0.3">
      <c r="A23" s="7" t="s">
        <v>127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15" x14ac:dyDescent="0.3">
      <c r="A24" s="7" t="s">
        <v>128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15" x14ac:dyDescent="0.3">
      <c r="A25" s="7" t="s">
        <v>129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15" x14ac:dyDescent="0.3">
      <c r="A26" s="7" t="s">
        <v>130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15" x14ac:dyDescent="0.3">
      <c r="A27" s="7" t="s">
        <v>131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15" x14ac:dyDescent="0.3">
      <c r="A28" s="7" t="s">
        <v>132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15" x14ac:dyDescent="0.3">
      <c r="A29" s="7" t="s">
        <v>133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15" x14ac:dyDescent="0.3">
      <c r="A30" s="7" t="s">
        <v>134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15" x14ac:dyDescent="0.3">
      <c r="A31" s="7" t="s">
        <v>135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15" x14ac:dyDescent="0.3">
      <c r="A32" s="7" t="s">
        <v>136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137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138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139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140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141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142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143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144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145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146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147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148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149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111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112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113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114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115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116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117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118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9" t="s">
        <v>119</v>
      </c>
      <c r="B54" s="11">
        <v>21016</v>
      </c>
      <c r="C54" s="1" t="s">
        <v>5</v>
      </c>
      <c r="D54" s="11">
        <v>0</v>
      </c>
      <c r="E54" s="1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F22"/>
  <sheetViews>
    <sheetView zoomScaleNormal="100" workbookViewId="0">
      <selection activeCell="I8" sqref="I8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6" ht="21" x14ac:dyDescent="0.4">
      <c r="A1" s="39" t="s">
        <v>85</v>
      </c>
      <c r="B1" s="38" t="s">
        <v>165</v>
      </c>
    </row>
    <row r="2" spans="1:6" ht="18" x14ac:dyDescent="0.35">
      <c r="B2" s="37" t="s">
        <v>178</v>
      </c>
    </row>
    <row r="5" spans="1:6" ht="14.4" x14ac:dyDescent="0.3">
      <c r="B5" s="1" t="s">
        <v>150</v>
      </c>
    </row>
    <row r="6" spans="1:6" ht="14.4" x14ac:dyDescent="0.3">
      <c r="A6" s="3" t="s">
        <v>53</v>
      </c>
      <c r="B6" s="1"/>
    </row>
    <row r="7" spans="1:6" ht="14.4" x14ac:dyDescent="0.3">
      <c r="A7" s="3" t="s">
        <v>152</v>
      </c>
      <c r="B7" s="53" t="s">
        <v>179</v>
      </c>
      <c r="C7" s="54"/>
      <c r="D7" s="54"/>
      <c r="E7" s="54"/>
      <c r="F7" s="54"/>
    </row>
    <row r="10" spans="1:6" ht="23.4" x14ac:dyDescent="0.45">
      <c r="A10" s="17" t="s">
        <v>161</v>
      </c>
    </row>
    <row r="11" spans="1:6" ht="14.4" x14ac:dyDescent="0.3">
      <c r="A11" s="30" t="s">
        <v>86</v>
      </c>
      <c r="B11" s="16" t="s">
        <v>87</v>
      </c>
      <c r="C11" s="16" t="s">
        <v>88</v>
      </c>
    </row>
    <row r="12" spans="1:6" ht="14.4" x14ac:dyDescent="0.3">
      <c r="A12" s="30">
        <v>44927</v>
      </c>
      <c r="B12" s="16" t="s">
        <v>59</v>
      </c>
      <c r="C12" s="16">
        <v>200</v>
      </c>
    </row>
    <row r="13" spans="1:6" ht="14.4" x14ac:dyDescent="0.3">
      <c r="A13" s="30">
        <v>44928</v>
      </c>
      <c r="B13" s="16" t="s">
        <v>60</v>
      </c>
      <c r="C13" s="16">
        <v>2</v>
      </c>
    </row>
    <row r="14" spans="1:6" ht="14.4" x14ac:dyDescent="0.3">
      <c r="A14" s="30">
        <v>44929</v>
      </c>
      <c r="B14" s="16" t="s">
        <v>61</v>
      </c>
      <c r="C14" s="16">
        <v>50</v>
      </c>
    </row>
    <row r="15" spans="1:6" ht="14.4" x14ac:dyDescent="0.3">
      <c r="A15" s="30">
        <v>44930</v>
      </c>
      <c r="B15" s="16" t="s">
        <v>62</v>
      </c>
      <c r="C15" s="16">
        <v>2</v>
      </c>
    </row>
    <row r="16" spans="1:6" ht="14.4" x14ac:dyDescent="0.3">
      <c r="A16" s="30">
        <v>44931</v>
      </c>
      <c r="B16" s="16" t="s">
        <v>63</v>
      </c>
      <c r="C16" s="16">
        <v>10</v>
      </c>
    </row>
    <row r="17" spans="1:3" ht="14.4" x14ac:dyDescent="0.3">
      <c r="A17" s="30">
        <v>44932</v>
      </c>
      <c r="B17" s="16" t="s">
        <v>153</v>
      </c>
      <c r="C17" s="16">
        <v>150</v>
      </c>
    </row>
    <row r="18" spans="1:3" ht="14.4" x14ac:dyDescent="0.3">
      <c r="A18" s="30">
        <v>44933</v>
      </c>
      <c r="B18" s="16" t="s">
        <v>154</v>
      </c>
      <c r="C18" s="16">
        <v>80</v>
      </c>
    </row>
    <row r="19" spans="1:3" ht="14.4" x14ac:dyDescent="0.3">
      <c r="A19" s="30">
        <v>44934</v>
      </c>
      <c r="B19" s="16" t="s">
        <v>155</v>
      </c>
      <c r="C19" s="16">
        <v>2</v>
      </c>
    </row>
    <row r="20" spans="1:3" ht="14.4" x14ac:dyDescent="0.3">
      <c r="A20" s="30">
        <v>44935</v>
      </c>
      <c r="B20" s="16" t="s">
        <v>156</v>
      </c>
      <c r="C20" s="16">
        <v>30</v>
      </c>
    </row>
    <row r="21" spans="1:3" ht="14.4" x14ac:dyDescent="0.3">
      <c r="A21" s="30">
        <v>44936</v>
      </c>
      <c r="B21" s="16" t="s">
        <v>157</v>
      </c>
      <c r="C21" s="16">
        <v>2</v>
      </c>
    </row>
    <row r="22" spans="1:3" ht="14.4" x14ac:dyDescent="0.3">
      <c r="B22" s="16" t="s">
        <v>158</v>
      </c>
      <c r="C22" s="24">
        <f>SUM(C12:C21)</f>
        <v>528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E24" sqref="E24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39" t="s">
        <v>98</v>
      </c>
      <c r="B1" s="38" t="s">
        <v>173</v>
      </c>
    </row>
    <row r="3" spans="1:14" ht="14.4" x14ac:dyDescent="0.3">
      <c r="B3" s="1" t="s">
        <v>150</v>
      </c>
    </row>
    <row r="4" spans="1:14" ht="18" x14ac:dyDescent="0.35">
      <c r="A4" s="40" t="s">
        <v>53</v>
      </c>
      <c r="B4" s="1"/>
    </row>
    <row r="5" spans="1:14" ht="18" x14ac:dyDescent="0.35">
      <c r="A5" s="40" t="s">
        <v>152</v>
      </c>
      <c r="B5" s="1"/>
    </row>
    <row r="6" spans="1:14" ht="14.4" x14ac:dyDescent="0.3">
      <c r="A6" s="3"/>
      <c r="B6" s="1"/>
    </row>
    <row r="8" spans="1:14" ht="23.4" x14ac:dyDescent="0.45">
      <c r="A8" s="17" t="s">
        <v>161</v>
      </c>
      <c r="M8" s="17" t="s">
        <v>162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166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1"/>
    </row>
    <row r="24" spans="1:14" ht="14.4" x14ac:dyDescent="0.3">
      <c r="A24" s="7">
        <v>10100</v>
      </c>
      <c r="B24" s="11">
        <v>10104</v>
      </c>
      <c r="C24" s="41"/>
    </row>
    <row r="25" spans="1:14" ht="14.4" x14ac:dyDescent="0.3">
      <c r="A25" s="7">
        <v>10108</v>
      </c>
      <c r="B25" s="11">
        <v>10102</v>
      </c>
      <c r="C25" s="41"/>
    </row>
    <row r="26" spans="1:14" ht="14.4" x14ac:dyDescent="0.3">
      <c r="A26" s="7">
        <v>10100</v>
      </c>
      <c r="B26" s="11">
        <v>10106</v>
      </c>
      <c r="C26" s="41"/>
    </row>
    <row r="27" spans="1:14" ht="14.4" x14ac:dyDescent="0.3">
      <c r="A27" s="7">
        <v>10108</v>
      </c>
      <c r="B27" s="11">
        <v>10110</v>
      </c>
      <c r="C27" s="41"/>
    </row>
    <row r="28" spans="1:14" ht="14.4" x14ac:dyDescent="0.3">
      <c r="A28" s="7">
        <v>10102</v>
      </c>
      <c r="B28" s="11">
        <v>10104</v>
      </c>
      <c r="C28" s="41"/>
    </row>
    <row r="29" spans="1:14" ht="14.4" x14ac:dyDescent="0.3">
      <c r="A29" s="7">
        <v>10106</v>
      </c>
      <c r="B29" s="11">
        <v>10108</v>
      </c>
      <c r="C29" s="41"/>
    </row>
    <row r="30" spans="1:14" ht="14.4" x14ac:dyDescent="0.3">
      <c r="A30" s="7">
        <v>10102</v>
      </c>
      <c r="B30" s="11">
        <v>10106</v>
      </c>
      <c r="C30" s="41"/>
    </row>
    <row r="31" spans="1:14" ht="14.4" x14ac:dyDescent="0.3">
      <c r="A31" s="7">
        <v>10110</v>
      </c>
      <c r="B31" s="11">
        <v>10114</v>
      </c>
      <c r="C31" s="41"/>
    </row>
    <row r="32" spans="1:14" ht="14.4" x14ac:dyDescent="0.3">
      <c r="A32" s="7">
        <v>10104</v>
      </c>
      <c r="B32" s="11">
        <v>10106</v>
      </c>
      <c r="C32" s="41"/>
    </row>
    <row r="33" spans="1:3" ht="14.4" x14ac:dyDescent="0.3">
      <c r="A33" s="7">
        <v>10110</v>
      </c>
      <c r="B33" s="11">
        <v>10112</v>
      </c>
      <c r="C33" s="41"/>
    </row>
    <row r="34" spans="1:3" ht="14.4" x14ac:dyDescent="0.3">
      <c r="A34" s="7">
        <v>10100</v>
      </c>
      <c r="B34" s="11">
        <v>10114</v>
      </c>
      <c r="C34" s="41"/>
    </row>
    <row r="35" spans="1:3" ht="14.4" x14ac:dyDescent="0.3">
      <c r="A35" s="9">
        <v>10112</v>
      </c>
      <c r="B35" s="12">
        <v>10116</v>
      </c>
      <c r="C35" s="4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Kamal</cp:lastModifiedBy>
  <dcterms:created xsi:type="dcterms:W3CDTF">2015-02-10T17:33:11Z</dcterms:created>
  <dcterms:modified xsi:type="dcterms:W3CDTF">2024-10-24T09:54:22Z</dcterms:modified>
</cp:coreProperties>
</file>